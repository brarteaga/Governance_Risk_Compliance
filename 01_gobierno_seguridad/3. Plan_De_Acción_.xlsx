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rt\Documents\CURSOS UNIVERSIDAD 25-26\MONDRAGON\CURSO GRC CORPORATIVO\1. Gobierno de la Seguridad y Análisis de Riesgos\1. Gobierno de la Seguridad\PDS\"/>
    </mc:Choice>
  </mc:AlternateContent>
  <xr:revisionPtr revIDLastSave="0" documentId="13_ncr:1_{45D68C42-1FA9-43CB-A68B-B417D56A95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 de acción 2026 - 2028" sheetId="1" r:id="rId1"/>
  </sheets>
  <definedNames>
    <definedName name="_xlnm._FilterDatabase" localSheetId="0" hidden="1">'Plan de acción 2026 - 2028'!$A$1:$K$13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P4" i="1"/>
  <c r="O4" i="1"/>
  <c r="N4" i="1"/>
</calcChain>
</file>

<file path=xl/sharedStrings.xml><?xml version="1.0" encoding="utf-8"?>
<sst xmlns="http://schemas.openxmlformats.org/spreadsheetml/2006/main" count="103" uniqueCount="59">
  <si>
    <t>ID</t>
  </si>
  <si>
    <t>Año</t>
  </si>
  <si>
    <t>Nombre de Proyecto</t>
  </si>
  <si>
    <t>Descripción</t>
  </si>
  <si>
    <t>Riesgo (Alto/Medio/Bajo)</t>
  </si>
  <si>
    <t>Tiempo de implantación (Alto/Medio/Bajo)</t>
  </si>
  <si>
    <t>QuickWin (Si/No)</t>
  </si>
  <si>
    <t>Tipo de proyecto (Organizativo/Técnico)</t>
  </si>
  <si>
    <t>Origen (Organizativos O1-8 y Técnicos T1-2)</t>
  </si>
  <si>
    <t>Leyenda colores (Riesgo)</t>
  </si>
  <si>
    <t>Resumen de riesgos por año</t>
  </si>
  <si>
    <t>Prioridad_Riesgo</t>
  </si>
  <si>
    <t>2026 – Hardening de red y eliminación de credenciales por defecto</t>
  </si>
  <si>
    <t>Planificado para 2026 (Año 1). Revisar configuraciones de red y eliminar credenciales/parámetros por defecto en dispositivos. Establecer estándares mínimos de configuración segura y verificación posterior para reducir la superficie de ataque.</t>
  </si>
  <si>
    <t>Alto</t>
  </si>
  <si>
    <t>No</t>
  </si>
  <si>
    <t>Técnico</t>
  </si>
  <si>
    <t>T1</t>
  </si>
  <si>
    <t>Rojo – Riesgo Alto</t>
  </si>
  <si>
    <t>2026 – Procedimiento de parcheo y actualización de sistemas</t>
  </si>
  <si>
    <t>Planificado para 2026 (Año 1). Definir e implantar un proceso sistemático de gestión de actualizaciones y parches (periodicidad, responsables, priorización por criticidad). Registrar evidencias y control de excepciones para reducir exposición a vulnerabilidades conocidas.</t>
  </si>
  <si>
    <t>T2</t>
  </si>
  <si>
    <t>Naranja – Riesgo Medio</t>
  </si>
  <si>
    <t>Altos</t>
  </si>
  <si>
    <t>Medios</t>
  </si>
  <si>
    <t>Bajos</t>
  </si>
  <si>
    <t>2026 – Procedimiento de gestión de incidentes de seguridad</t>
  </si>
  <si>
    <t>Planificado para 2026 (Año 1). Definir, documentar e implantar el proceso de gestión de incidentes (detección, análisis, contención, erradicación, recuperación y cierre), incluyendo responsables, criterios de escalado y canales de comunicación.</t>
  </si>
  <si>
    <t>Medio</t>
  </si>
  <si>
    <t>Si</t>
  </si>
  <si>
    <t>Organizativo</t>
  </si>
  <si>
    <t>O3</t>
  </si>
  <si>
    <t>Verde – Riesgo Bajo</t>
  </si>
  <si>
    <t>2026 – Política de copias de seguridad y pruebas de restauración</t>
  </si>
  <si>
    <t>Planificado para 2026 (Año 1). Establecer una política formal de copias de seguridad (alcance, periodicidad, responsables y almacenamiento) y realizar pruebas periódicas de restauración para asegurar recuperabilidad ante incidentes.</t>
  </si>
  <si>
    <t>O5</t>
  </si>
  <si>
    <t>2027 – Política de Seguridad de la Información</t>
  </si>
  <si>
    <t>Planificado para 2027 (Año 2). Redactar, aprobar y comunicar una Política de Seguridad que establezca principios, alcance, responsabilidades y obligaciones generales, integrándola en el modelo de gobierno corporativo.</t>
  </si>
  <si>
    <t>O1</t>
  </si>
  <si>
    <t>2027 – Adecuación en materia de protección de datos personales</t>
  </si>
  <si>
    <t>Planificado para 2027 (Año 2). Revisar tratamientos de datos, actualizar/elaborar documentación necesaria y definir medidas organizativas acordes al riesgo para reducir exposición legal y reputacional asociada a RGPD.</t>
  </si>
  <si>
    <t>O4</t>
  </si>
  <si>
    <t>2028 – Plan de Continuidad TIC</t>
  </si>
  <si>
    <t>Planificado para 2028 (Año 3). Identificar procesos críticos y dependencias TIC, definir tiempos máximos de recuperación y estrategias/procedimientos de recuperación para asegurar continuidad ante interrupciones graves.</t>
  </si>
  <si>
    <t>2028 – Programa estructurado de concienciación en seguridad</t>
  </si>
  <si>
    <t>Planificado para 2028 (Año 3). Diseñar e implantar un programa periódico de concienciación y formación para reducir incidentes por factor humano, reforzar el cumplimiento de políticas y mejorar el reporte temprano.</t>
  </si>
  <si>
    <t>O2</t>
  </si>
  <si>
    <t>2026 – Refuerzo de seguridad WiFi (WPA2 con contraseña débil)</t>
  </si>
  <si>
    <t>Planificado para 2026 (Año 1). Corregir debilidades de la red WiFi mediante fortalecimiento de credenciales y revisión de configuración, reduciendo el riesgo de acceso no autorizado a través del entorno inalámbrico.</t>
  </si>
  <si>
    <t>Bajo</t>
  </si>
  <si>
    <t>O7</t>
  </si>
  <si>
    <t>2027 – Revisión de contratos y SLAs con proveedores tecnológicos</t>
  </si>
  <si>
    <t>Planificado para 2027 (Año 2). Revisar contratos existentes e incorporar requisitos mínimos de seguridad y acuerdos de nivel de servicio, reforzando el control sobre riesgos derivados de terceros.</t>
  </si>
  <si>
    <t>O6</t>
  </si>
  <si>
    <t>2027 – Esquema de clasificación de la información</t>
  </si>
  <si>
    <t>Planificado para 2027 (Año 2). Definir niveles de criticidad y reglas de manejo/protección asociadas para aplicar controles proporcionales y priorizar la protección de información sensible.</t>
  </si>
  <si>
    <t>O8</t>
  </si>
  <si>
    <t>2027 – Modelo de gobierno de seguridad (roles y responsabilidades)</t>
  </si>
  <si>
    <t>Planificado para 2027 (Año 2). Definir roles y responsabilidades (RACI) en seguridad de la información, alineados con la Política de Seguridad, para asegurar trazabilidad, coordinación y toma de decisiones consistente.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</si>
</sst>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4C4C"/>
      </patternFill>
    </fill>
    <fill>
      <patternFill patternType="solid">
        <fgColor rgb="FFFFB84C"/>
      </patternFill>
    </fill>
    <fill>
      <patternFill patternType="solid">
        <fgColor rgb="FF92D050"/>
      </patternFill>
    </fill>
    <fill>
      <patternFill patternType="solid">
        <fgColor rgb="FFF8D7DA"/>
        <bgColor rgb="FFF8D7DA"/>
      </patternFill>
    </fill>
    <fill>
      <patternFill patternType="solid">
        <fgColor rgb="FFFFE5B4"/>
        <bgColor rgb="FFFFE5B4"/>
      </patternFill>
    </fill>
    <fill>
      <patternFill patternType="solid">
        <fgColor rgb="FFD4EDDA"/>
        <bgColor rgb="FFD4EDDA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E5B4"/>
          <bgColor rgb="FFFFE5B4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E5B4"/>
          <bgColor rgb="FFFFE5B4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zoomScale="55" zoomScaleNormal="55" workbookViewId="0">
      <pane ySplit="1" topLeftCell="A2" activePane="bottomLeft" state="frozen"/>
      <selection pane="bottomLeft" activeCell="P10" sqref="M10:P10"/>
    </sheetView>
  </sheetViews>
  <sheetFormatPr baseColWidth="10" defaultRowHeight="14.5" x14ac:dyDescent="0.35"/>
  <cols>
    <col min="1" max="1" width="6" bestFit="1" customWidth="1"/>
    <col min="2" max="2" width="8" bestFit="1" customWidth="1"/>
    <col min="3" max="3" width="52" customWidth="1"/>
    <col min="4" max="4" width="95" bestFit="1" customWidth="1"/>
    <col min="5" max="5" width="14" bestFit="1" customWidth="1"/>
    <col min="6" max="6" width="22" customWidth="1"/>
    <col min="7" max="7" width="14" bestFit="1" customWidth="1"/>
    <col min="8" max="8" width="20" customWidth="1"/>
    <col min="9" max="9" width="18" customWidth="1"/>
    <col min="11" max="11" width="52" customWidth="1"/>
    <col min="13" max="16" width="14" customWidth="1"/>
    <col min="18" max="18" width="13" hidden="1" customWidth="1"/>
  </cols>
  <sheetData>
    <row r="1" spans="1:1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9</v>
      </c>
      <c r="M1" s="3" t="s">
        <v>10</v>
      </c>
      <c r="R1" t="s">
        <v>11</v>
      </c>
    </row>
    <row r="2" spans="1:18" ht="28.75" customHeight="1" x14ac:dyDescent="0.35">
      <c r="A2" s="4">
        <v>1</v>
      </c>
      <c r="B2" s="4">
        <v>2026</v>
      </c>
      <c r="C2" s="4" t="s">
        <v>12</v>
      </c>
      <c r="D2" s="4" t="s">
        <v>13</v>
      </c>
      <c r="E2" s="5" t="s">
        <v>14</v>
      </c>
      <c r="F2" s="5" t="s">
        <v>14</v>
      </c>
      <c r="G2" s="4" t="s">
        <v>15</v>
      </c>
      <c r="H2" s="4" t="s">
        <v>16</v>
      </c>
      <c r="I2" s="4" t="s">
        <v>17</v>
      </c>
      <c r="K2" s="10" t="s">
        <v>18</v>
      </c>
      <c r="R2">
        <v>1</v>
      </c>
    </row>
    <row r="3" spans="1:18" ht="28.75" customHeight="1" x14ac:dyDescent="0.35">
      <c r="A3" s="4">
        <v>2</v>
      </c>
      <c r="B3" s="4">
        <v>2026</v>
      </c>
      <c r="C3" s="4" t="s">
        <v>19</v>
      </c>
      <c r="D3" s="4" t="s">
        <v>20</v>
      </c>
      <c r="E3" s="5" t="s">
        <v>14</v>
      </c>
      <c r="F3" s="5" t="s">
        <v>14</v>
      </c>
      <c r="G3" s="4" t="s">
        <v>15</v>
      </c>
      <c r="H3" s="4" t="s">
        <v>16</v>
      </c>
      <c r="I3" s="4" t="s">
        <v>21</v>
      </c>
      <c r="K3" s="11" t="s">
        <v>22</v>
      </c>
      <c r="M3" s="3" t="s">
        <v>1</v>
      </c>
      <c r="N3" s="3" t="s">
        <v>23</v>
      </c>
      <c r="O3" s="3" t="s">
        <v>24</v>
      </c>
      <c r="P3" s="3" t="s">
        <v>25</v>
      </c>
      <c r="R3">
        <v>1</v>
      </c>
    </row>
    <row r="4" spans="1:18" ht="43.25" customHeight="1" x14ac:dyDescent="0.35">
      <c r="A4" s="4">
        <v>3</v>
      </c>
      <c r="B4" s="4">
        <v>2026</v>
      </c>
      <c r="C4" s="4" t="s">
        <v>26</v>
      </c>
      <c r="D4" s="4" t="s">
        <v>27</v>
      </c>
      <c r="E4" s="5" t="s">
        <v>14</v>
      </c>
      <c r="F4" s="6" t="s">
        <v>28</v>
      </c>
      <c r="G4" s="4" t="s">
        <v>29</v>
      </c>
      <c r="H4" s="4" t="s">
        <v>30</v>
      </c>
      <c r="I4" s="4" t="s">
        <v>31</v>
      </c>
      <c r="K4" s="12" t="s">
        <v>32</v>
      </c>
      <c r="M4" s="8">
        <v>2026</v>
      </c>
      <c r="N4" s="9">
        <f>COUNTIFS(B:B,2026,E:E,"Alto")</f>
        <v>4</v>
      </c>
      <c r="O4" s="9">
        <f>COUNTIFS(B:B,2026,E:E,"Medio")</f>
        <v>1</v>
      </c>
      <c r="P4" s="9">
        <f>COUNTIFS(B:B,2026,E:E,"Bajo")</f>
        <v>0</v>
      </c>
      <c r="R4">
        <v>1</v>
      </c>
    </row>
    <row r="5" spans="1:18" ht="28.75" customHeight="1" x14ac:dyDescent="0.35">
      <c r="A5" s="4">
        <v>4</v>
      </c>
      <c r="B5" s="4">
        <v>2026</v>
      </c>
      <c r="C5" s="4" t="s">
        <v>33</v>
      </c>
      <c r="D5" s="4" t="s">
        <v>34</v>
      </c>
      <c r="E5" s="5" t="s">
        <v>14</v>
      </c>
      <c r="F5" s="6" t="s">
        <v>28</v>
      </c>
      <c r="G5" s="4" t="s">
        <v>29</v>
      </c>
      <c r="H5" s="4" t="s">
        <v>30</v>
      </c>
      <c r="I5" s="4" t="s">
        <v>35</v>
      </c>
      <c r="M5" s="8">
        <v>2027</v>
      </c>
      <c r="N5" s="9">
        <f>COUNTIFS(B:B,2027,E:E,"Alto")</f>
        <v>2</v>
      </c>
      <c r="O5" s="9">
        <f>COUNTIFS(B:B,2027,E:E,"Medio")</f>
        <v>3</v>
      </c>
      <c r="P5" s="9">
        <f>COUNTIFS(B:B,2027,E:E,"Bajo")</f>
        <v>0</v>
      </c>
      <c r="R5">
        <v>1</v>
      </c>
    </row>
    <row r="6" spans="1:18" ht="43.25" customHeight="1" x14ac:dyDescent="0.35">
      <c r="A6" s="4">
        <v>5</v>
      </c>
      <c r="B6" s="4">
        <v>2026</v>
      </c>
      <c r="C6" s="4" t="s">
        <v>47</v>
      </c>
      <c r="D6" s="4" t="s">
        <v>48</v>
      </c>
      <c r="E6" s="6" t="s">
        <v>28</v>
      </c>
      <c r="F6" s="6" t="s">
        <v>49</v>
      </c>
      <c r="G6" s="4" t="s">
        <v>29</v>
      </c>
      <c r="H6" s="4" t="s">
        <v>16</v>
      </c>
      <c r="I6" s="4" t="s">
        <v>50</v>
      </c>
      <c r="M6" s="8">
        <v>2028</v>
      </c>
      <c r="N6" s="9">
        <v>2</v>
      </c>
      <c r="O6" s="9">
        <v>0</v>
      </c>
      <c r="P6" s="9">
        <v>0</v>
      </c>
      <c r="R6">
        <v>1</v>
      </c>
    </row>
    <row r="7" spans="1:18" ht="43.25" customHeight="1" x14ac:dyDescent="0.35">
      <c r="A7" s="4">
        <v>6</v>
      </c>
      <c r="B7" s="4">
        <v>2027</v>
      </c>
      <c r="C7" s="4" t="s">
        <v>36</v>
      </c>
      <c r="D7" s="4" t="s">
        <v>37</v>
      </c>
      <c r="E7" s="6" t="s">
        <v>14</v>
      </c>
      <c r="F7" s="7" t="s">
        <v>14</v>
      </c>
      <c r="G7" s="4" t="s">
        <v>15</v>
      </c>
      <c r="H7" s="4" t="s">
        <v>30</v>
      </c>
      <c r="I7" s="4" t="s">
        <v>38</v>
      </c>
      <c r="R7">
        <v>1</v>
      </c>
    </row>
    <row r="8" spans="1:18" ht="86.4" customHeight="1" x14ac:dyDescent="0.35">
      <c r="A8" s="4">
        <v>7</v>
      </c>
      <c r="B8" s="4">
        <v>2027</v>
      </c>
      <c r="C8" s="4" t="s">
        <v>39</v>
      </c>
      <c r="D8" s="4" t="s">
        <v>40</v>
      </c>
      <c r="E8" s="5" t="s">
        <v>14</v>
      </c>
      <c r="F8" s="5" t="s">
        <v>14</v>
      </c>
      <c r="G8" s="4" t="s">
        <v>15</v>
      </c>
      <c r="H8" s="4" t="s">
        <v>30</v>
      </c>
      <c r="I8" s="4" t="s">
        <v>41</v>
      </c>
      <c r="R8">
        <v>1</v>
      </c>
    </row>
    <row r="9" spans="1:18" ht="57.65" customHeight="1" x14ac:dyDescent="0.35">
      <c r="A9" s="4">
        <v>8</v>
      </c>
      <c r="B9" s="4">
        <v>2027</v>
      </c>
      <c r="C9" s="4" t="s">
        <v>51</v>
      </c>
      <c r="D9" s="4" t="s">
        <v>52</v>
      </c>
      <c r="E9" s="5" t="s">
        <v>28</v>
      </c>
      <c r="F9" s="5" t="s">
        <v>28</v>
      </c>
      <c r="G9" s="4" t="s">
        <v>15</v>
      </c>
      <c r="H9" s="4" t="s">
        <v>30</v>
      </c>
      <c r="I9" s="4" t="s">
        <v>53</v>
      </c>
      <c r="R9">
        <v>1</v>
      </c>
    </row>
    <row r="10" spans="1:18" ht="29" x14ac:dyDescent="0.35">
      <c r="A10" s="4">
        <v>9</v>
      </c>
      <c r="B10" s="4">
        <v>2027</v>
      </c>
      <c r="C10" s="4" t="s">
        <v>54</v>
      </c>
      <c r="D10" s="4" t="s">
        <v>55</v>
      </c>
      <c r="E10" s="5" t="s">
        <v>28</v>
      </c>
      <c r="F10" s="6" t="s">
        <v>28</v>
      </c>
      <c r="G10" s="4" t="s">
        <v>15</v>
      </c>
      <c r="H10" s="4" t="s">
        <v>30</v>
      </c>
      <c r="I10" s="4" t="s">
        <v>56</v>
      </c>
      <c r="R10">
        <v>2</v>
      </c>
    </row>
    <row r="11" spans="1:18" ht="57.65" customHeight="1" x14ac:dyDescent="0.35">
      <c r="A11" s="4">
        <v>10</v>
      </c>
      <c r="B11" s="4">
        <v>2028</v>
      </c>
      <c r="C11" s="4" t="s">
        <v>42</v>
      </c>
      <c r="D11" s="4" t="s">
        <v>43</v>
      </c>
      <c r="E11" s="5" t="s">
        <v>14</v>
      </c>
      <c r="F11" s="5" t="s">
        <v>14</v>
      </c>
      <c r="G11" s="4" t="s">
        <v>15</v>
      </c>
      <c r="H11" s="4" t="s">
        <v>30</v>
      </c>
      <c r="I11" s="4" t="s">
        <v>35</v>
      </c>
      <c r="R11">
        <v>2</v>
      </c>
    </row>
    <row r="12" spans="1:18" ht="28.75" customHeight="1" x14ac:dyDescent="0.35">
      <c r="A12" s="4">
        <v>11</v>
      </c>
      <c r="B12" s="4">
        <v>2028</v>
      </c>
      <c r="C12" s="4" t="s">
        <v>44</v>
      </c>
      <c r="D12" s="4" t="s">
        <v>45</v>
      </c>
      <c r="E12" s="6" t="s">
        <v>14</v>
      </c>
      <c r="F12" s="6" t="s">
        <v>28</v>
      </c>
      <c r="G12" s="4" t="s">
        <v>29</v>
      </c>
      <c r="H12" s="4" t="s">
        <v>30</v>
      </c>
      <c r="I12" s="4" t="s">
        <v>46</v>
      </c>
      <c r="R12">
        <v>2</v>
      </c>
    </row>
    <row r="13" spans="1:18" ht="29.4" customHeight="1" thickBot="1" x14ac:dyDescent="0.4">
      <c r="A13" s="4">
        <v>12</v>
      </c>
      <c r="B13" s="4">
        <v>2027</v>
      </c>
      <c r="C13" s="4" t="s">
        <v>57</v>
      </c>
      <c r="D13" s="4" t="s">
        <v>58</v>
      </c>
      <c r="E13" s="6" t="s">
        <v>28</v>
      </c>
      <c r="F13" s="6" t="s">
        <v>28</v>
      </c>
      <c r="G13" s="4" t="s">
        <v>15</v>
      </c>
      <c r="H13" s="4" t="s">
        <v>30</v>
      </c>
      <c r="I13" s="4" t="s">
        <v>38</v>
      </c>
      <c r="R13">
        <v>2</v>
      </c>
    </row>
  </sheetData>
  <autoFilter ref="A1:K13" xr:uid="{00000000-0009-0000-0000-000000000000}">
    <sortState xmlns:xlrd2="http://schemas.microsoft.com/office/spreadsheetml/2017/richdata2" ref="A2:K13">
      <sortCondition ref="A1:A13"/>
    </sortState>
  </autoFilter>
  <conditionalFormatting sqref="E2:E13">
    <cfRule type="expression" dxfId="5" priority="7">
      <formula>$E2="Alto"</formula>
    </cfRule>
    <cfRule type="expression" dxfId="4" priority="8">
      <formula>$E2="Medio"</formula>
    </cfRule>
    <cfRule type="expression" dxfId="3" priority="9">
      <formula>$E2="Bajo"</formula>
    </cfRule>
  </conditionalFormatting>
  <conditionalFormatting sqref="F2:F13">
    <cfRule type="expression" dxfId="2" priority="10">
      <formula>$F2="Alto"</formula>
    </cfRule>
    <cfRule type="expression" dxfId="1" priority="11">
      <formula>$F2="Medio"</formula>
    </cfRule>
    <cfRule type="expression" dxfId="0" priority="12">
      <formula>$F2="Bajo"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acción 2026 - 2028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Rodríguez</dc:creator>
  <cp:lastModifiedBy>Office365</cp:lastModifiedBy>
  <dcterms:created xsi:type="dcterms:W3CDTF">2022-08-16T16:59:35Z</dcterms:created>
  <dcterms:modified xsi:type="dcterms:W3CDTF">2026-03-02T13:50:15Z</dcterms:modified>
</cp:coreProperties>
</file>